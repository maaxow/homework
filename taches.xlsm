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6915" windowHeight="2640"/>
  </bookViews>
  <sheets>
    <sheet name="Feuil1" sheetId="1" r:id="rId1"/>
    <sheet name="Feuil2" sheetId="2" r:id="rId2"/>
    <sheet name="Feuil3" sheetId="3" r:id="rId3"/>
  </sheets>
  <functionGroups/>
  <calcPr calcId="125725"/>
</workbook>
</file>

<file path=xl/calcChain.xml><?xml version="1.0" encoding="utf-8"?>
<calcChain xmlns="http://schemas.openxmlformats.org/spreadsheetml/2006/main">
  <c r="I4" i="1"/>
  <c r="A14"/>
  <c r="A6"/>
  <c r="A10"/>
  <c r="A11"/>
  <c r="A5"/>
  <c r="A7"/>
  <c r="A9" l="1"/>
  <c r="A8"/>
  <c r="B13"/>
  <c r="J5" l="1"/>
  <c r="J6"/>
  <c r="L4"/>
  <c r="J4"/>
</calcChain>
</file>

<file path=xl/sharedStrings.xml><?xml version="1.0" encoding="utf-8"?>
<sst xmlns="http://schemas.openxmlformats.org/spreadsheetml/2006/main" count="16" uniqueCount="15">
  <si>
    <t>Tâches</t>
  </si>
  <si>
    <t>% réalisé</t>
  </si>
  <si>
    <t>% en cours</t>
  </si>
  <si>
    <t>Temps estimé</t>
  </si>
  <si>
    <t>Temps passé</t>
  </si>
  <si>
    <t>test2</t>
  </si>
  <si>
    <t>test3</t>
  </si>
  <si>
    <t>Temps passé (jour)</t>
  </si>
  <si>
    <t>N°</t>
  </si>
  <si>
    <t>abc</t>
  </si>
  <si>
    <t>bcd</t>
  </si>
  <si>
    <t>cde</t>
  </si>
  <si>
    <t>def</t>
  </si>
  <si>
    <t>efg</t>
  </si>
  <si>
    <t>bde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</si>
</sst>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/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2" borderId="2" xfId="0" applyFill="1" applyBorder="1"/>
    <xf numFmtId="0" fontId="0" fillId="2" borderId="1" xfId="0" applyFill="1" applyBorder="1"/>
    <xf numFmtId="0" fontId="0" fillId="0" borderId="0" xfId="0" applyBorder="1"/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2:O32"/>
  <sheetViews>
    <sheetView tabSelected="1" workbookViewId="0">
      <selection activeCell="A6" sqref="A6"/>
    </sheetView>
  </sheetViews>
  <sheetFormatPr baseColWidth="10" defaultRowHeight="15"/>
  <cols>
    <col min="2" max="2" width="20.7109375" customWidth="1"/>
    <col min="9" max="9" width="20.7109375" customWidth="1"/>
  </cols>
  <sheetData>
    <row r="2" spans="1:15" ht="15.75" thickBot="1"/>
    <row r="3" spans="1:15" ht="30.75" thickBot="1">
      <c r="A3" s="2" t="s">
        <v>8</v>
      </c>
      <c r="B3" s="2" t="s">
        <v>0</v>
      </c>
      <c r="C3" s="2" t="s">
        <v>1</v>
      </c>
      <c r="D3" s="3" t="s">
        <v>7</v>
      </c>
      <c r="I3" s="7" t="s">
        <v>0</v>
      </c>
      <c r="J3" s="5" t="s">
        <v>2</v>
      </c>
      <c r="K3" s="5" t="s">
        <v>3</v>
      </c>
      <c r="L3" s="6" t="s">
        <v>4</v>
      </c>
    </row>
    <row r="4" spans="1:15">
      <c r="A4" s="9">
        <v>1</v>
      </c>
      <c r="B4" s="1" t="s">
        <v>9</v>
      </c>
      <c r="C4" s="1">
        <v>50</v>
      </c>
      <c r="D4" s="1">
        <v>1</v>
      </c>
      <c r="I4" s="4" t="str">
        <f>LOOKUP("abc",B4:B10)</f>
        <v>abc</v>
      </c>
      <c r="J4" s="8">
        <f ca="1">SUMIF(B4:C28,I4,C4:C28)</f>
        <v>50</v>
      </c>
      <c r="K4" s="4">
        <v>5</v>
      </c>
      <c r="L4" s="4">
        <f ca="1">SUMIF(B4:D28,I4,D4:D28)</f>
        <v>1</v>
      </c>
    </row>
    <row r="5" spans="1:15">
      <c r="A5" s="9">
        <f>IF(B5=B4,A4,NEW_ID(A4))</f>
        <v>2</v>
      </c>
      <c r="B5" s="1" t="s">
        <v>10</v>
      </c>
      <c r="C5" s="1">
        <v>10</v>
      </c>
      <c r="D5" s="1"/>
      <c r="I5" s="4" t="s">
        <v>5</v>
      </c>
      <c r="J5" s="8">
        <f ca="1">SUMIF(B5:C29,I5,C5:C29)</f>
        <v>0</v>
      </c>
      <c r="K5" s="1"/>
      <c r="L5" s="1"/>
    </row>
    <row r="6" spans="1:15">
      <c r="A6" s="9">
        <f>IF(B6="","",(IF(ISERROR(LOOKUP(B6,B4:B5,A4:A5)),NEW_ID(MAX(A4:A5)),LOOKUP(B6,B4:B5,A4:A5))))</f>
        <v>2</v>
      </c>
      <c r="B6" s="1" t="s">
        <v>11</v>
      </c>
      <c r="C6" s="1">
        <v>60</v>
      </c>
      <c r="D6" s="1"/>
      <c r="I6" s="4" t="s">
        <v>6</v>
      </c>
      <c r="J6" s="8">
        <f ca="1">SUMIF(B6:C30,I6,C6:C30)</f>
        <v>0</v>
      </c>
      <c r="K6" s="1"/>
      <c r="L6" s="1"/>
    </row>
    <row r="7" spans="1:15">
      <c r="A7" s="9">
        <f>IF(B7="","",(IF(ISERROR(LOOKUP(B7,$B$4:B6,$A$4:A6)),NEW_ID(MAX($A$4:A6)),LOOKUP(B7,$B$4:B6,$A$4:A6))))</f>
        <v>2</v>
      </c>
      <c r="B7" s="1" t="s">
        <v>12</v>
      </c>
      <c r="C7" s="1">
        <v>50</v>
      </c>
      <c r="D7" s="1">
        <v>1</v>
      </c>
      <c r="I7" s="4"/>
      <c r="J7" s="9"/>
      <c r="K7" s="1"/>
      <c r="L7" s="1"/>
    </row>
    <row r="8" spans="1:15">
      <c r="A8" s="9">
        <f>IF(B8="","",(IF(ISERROR(LOOKUP(B8,$B$4:B7,$A$4:A7)),NEW_ID(MAX($A$4:A7)),LOOKUP(B8,$B$4:B7,$A$4:A7))))</f>
        <v>2</v>
      </c>
      <c r="B8" s="11" t="s">
        <v>13</v>
      </c>
      <c r="C8" s="1"/>
      <c r="D8" s="1"/>
      <c r="I8" s="4"/>
      <c r="J8" s="9"/>
      <c r="K8" s="1"/>
      <c r="L8" s="1"/>
    </row>
    <row r="9" spans="1:15">
      <c r="A9" s="9" t="str">
        <f>IF(B9="","",(IF(ISERROR(LOOKUP(B9,$B$4:B8,$A$4:A8)),NEW_ID(MAX($A$4:A8)),LOOKUP(B9,$B$4:B8,$A$4:A8))))</f>
        <v/>
      </c>
      <c r="B9" s="1"/>
      <c r="C9" s="1"/>
      <c r="D9" s="1"/>
      <c r="I9" s="4"/>
      <c r="J9" s="9"/>
      <c r="K9" s="1"/>
      <c r="L9" s="1"/>
    </row>
    <row r="10" spans="1:15">
      <c r="A10" s="9" t="str">
        <f>IF(B10="","",(IF(ISERROR(LOOKUP(B10,$B$4:B9,$A$4:A9)),NEW_ID(MAX($A$4:A9)),LOOKUP(B10,$B$4:B9,$A$4:A9))))</f>
        <v/>
      </c>
      <c r="B10" s="1"/>
      <c r="C10" s="1"/>
      <c r="D10" s="1"/>
      <c r="E10" s="10"/>
      <c r="I10" s="1"/>
      <c r="J10" s="9"/>
      <c r="K10" s="1"/>
      <c r="L10" s="1"/>
    </row>
    <row r="11" spans="1:15">
      <c r="A11" s="9" t="str">
        <f>IF(B11="","",(IF(ISERROR(LOOKUP(B11,$B$4:B10,$A$4:A10)),NEW_ID(MAX($A$4:A10)),LOOKUP(B11,$B$4:B10,$A$4:A10))))</f>
        <v/>
      </c>
      <c r="B11" s="1"/>
      <c r="C11" s="1"/>
      <c r="D11" s="1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</row>
    <row r="12" spans="1:1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</row>
    <row r="13" spans="1:15">
      <c r="A13" s="10"/>
      <c r="B13" s="10">
        <f>NEW_ID(MAX($A$4:A11))</f>
        <v>3</v>
      </c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</row>
    <row r="14" spans="1:15">
      <c r="A14" s="10" t="str">
        <f>VLOOKUP(B14,B4:B8,1)</f>
        <v>bcd</v>
      </c>
      <c r="B14" s="10" t="s">
        <v>14</v>
      </c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</row>
    <row r="15" spans="1:1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</row>
    <row r="16" spans="1:1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</row>
    <row r="17" spans="1:1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</row>
    <row r="18" spans="1:1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</row>
    <row r="19" spans="1:1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</row>
    <row r="20" spans="1:1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</row>
    <row r="21" spans="1:1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</row>
    <row r="22" spans="1:1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</row>
    <row r="23" spans="1:1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</row>
    <row r="24" spans="1:1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</row>
    <row r="25" spans="1:1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</row>
    <row r="26" spans="1:1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</row>
    <row r="27" spans="1:1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</row>
    <row r="28" spans="1:1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</row>
    <row r="29" spans="1:1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</row>
    <row r="30" spans="1:1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</row>
    <row r="31" spans="1:1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</row>
    <row r="32" spans="1:1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rosemx</dc:creator>
  <cp:lastModifiedBy>rosemx</cp:lastModifiedBy>
  <dcterms:created xsi:type="dcterms:W3CDTF">2015-12-22T08:26:56Z</dcterms:created>
  <dcterms:modified xsi:type="dcterms:W3CDTF">2015-12-22T14:03:09Z</dcterms:modified>
</cp:coreProperties>
</file>