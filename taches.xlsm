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6915" windowHeight="2640"/>
  </bookViews>
  <sheets>
    <sheet name="Feuil1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A5" i="1"/>
  <c r="A6" s="1"/>
  <c r="A7"/>
  <c r="J5"/>
  <c r="J6"/>
  <c r="I4"/>
  <c r="L4" s="1"/>
  <c r="B2"/>
  <c r="A8" l="1"/>
  <c r="A9" s="1"/>
  <c r="J4"/>
  <c r="A12"/>
  <c r="A11" l="1"/>
  <c r="A10"/>
</calcChain>
</file>

<file path=xl/sharedStrings.xml><?xml version="1.0" encoding="utf-8"?>
<sst xmlns="http://schemas.openxmlformats.org/spreadsheetml/2006/main" count="16" uniqueCount="12">
  <si>
    <t>Tâches</t>
  </si>
  <si>
    <t>% réalisé</t>
  </si>
  <si>
    <t>% en cours</t>
  </si>
  <si>
    <t>Temps estimé</t>
  </si>
  <si>
    <t>Temps passé</t>
  </si>
  <si>
    <t>test1</t>
  </si>
  <si>
    <t>test2</t>
  </si>
  <si>
    <t>test3</t>
  </si>
  <si>
    <t>Temps passé (jour)</t>
  </si>
  <si>
    <t>N°</t>
  </si>
  <si>
    <t>coucou</t>
  </si>
  <si>
    <t>prochain id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</si>
</sst>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6" xfId="0" applyFill="1" applyBorder="1"/>
    <xf numFmtId="0" fontId="0" fillId="2" borderId="0" xfId="0" applyFill="1"/>
    <xf numFmtId="0" fontId="0" fillId="2" borderId="2" xfId="0" applyFill="1" applyBorder="1"/>
    <xf numFmtId="0" fontId="0" fillId="2" borderId="1" xfId="0" applyFill="1" applyBorder="1"/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L28"/>
  <sheetViews>
    <sheetView tabSelected="1" workbookViewId="0">
      <selection activeCell="B2" sqref="B2"/>
    </sheetView>
  </sheetViews>
  <sheetFormatPr baseColWidth="10" defaultRowHeight="15"/>
  <cols>
    <col min="2" max="2" width="20.7109375" customWidth="1"/>
    <col min="9" max="9" width="20.7109375" customWidth="1"/>
  </cols>
  <sheetData>
    <row r="2" spans="1:12" ht="15.75" thickBot="1">
      <c r="A2" t="s">
        <v>11</v>
      </c>
      <c r="B2" t="e">
        <f>NEWID(A4:A30)</f>
        <v>#VALUE!</v>
      </c>
    </row>
    <row r="3" spans="1:12" ht="30.75" thickBot="1">
      <c r="A3" s="8" t="s">
        <v>9</v>
      </c>
      <c r="B3" s="3" t="s">
        <v>0</v>
      </c>
      <c r="C3" s="4" t="s">
        <v>1</v>
      </c>
      <c r="D3" s="6" t="s">
        <v>8</v>
      </c>
      <c r="I3" s="7" t="s">
        <v>0</v>
      </c>
      <c r="J3" s="5" t="s">
        <v>2</v>
      </c>
      <c r="K3" s="5" t="s">
        <v>3</v>
      </c>
      <c r="L3" s="6" t="s">
        <v>4</v>
      </c>
    </row>
    <row r="4" spans="1:12">
      <c r="A4" s="10">
        <v>1</v>
      </c>
      <c r="B4" s="2" t="s">
        <v>5</v>
      </c>
      <c r="C4" s="2">
        <v>50</v>
      </c>
      <c r="D4" s="2">
        <v>1</v>
      </c>
      <c r="I4" s="2" t="str">
        <f>LOOKUP("test1",B4:B10)</f>
        <v>test1</v>
      </c>
      <c r="J4" s="11">
        <f ca="1">SUMIF(B4:C28,I4,C4:C28)</f>
        <v>100</v>
      </c>
      <c r="K4" s="2">
        <v>5</v>
      </c>
      <c r="L4" s="2">
        <f ca="1">SUMIF(B4:D28,I4,D4:D28)</f>
        <v>2</v>
      </c>
    </row>
    <row r="5" spans="1:12">
      <c r="A5" s="13">
        <f>IF(ISERROR(LOOKUP(B5,$B$4:B4,$A$4:A4)),(MAX($A$4:A4))+1,LOOKUP(B5,$B$4:B4,$A$4:A4))</f>
        <v>1</v>
      </c>
      <c r="B5" s="1" t="s">
        <v>6</v>
      </c>
      <c r="C5" s="1">
        <v>10</v>
      </c>
      <c r="D5" s="1"/>
      <c r="I5" s="2" t="s">
        <v>6</v>
      </c>
      <c r="J5" s="11">
        <f ca="1">SUMIF(B5:C29,I5,C5:C29)</f>
        <v>10</v>
      </c>
      <c r="K5" s="1"/>
      <c r="L5" s="1"/>
    </row>
    <row r="6" spans="1:12">
      <c r="A6" s="13">
        <f>IF(ISERROR(LOOKUP(B6,$B$4:B5,$A$4:A5)),(MAX($A$4:A5))+1,LOOKUP(B6,$B$4:B5,$A$4:A5))</f>
        <v>1</v>
      </c>
      <c r="B6" s="1" t="s">
        <v>7</v>
      </c>
      <c r="C6" s="1">
        <v>60</v>
      </c>
      <c r="D6" s="1"/>
      <c r="I6" s="2" t="s">
        <v>7</v>
      </c>
      <c r="J6" s="11">
        <f ca="1">SUMIF(B6:C30,I6,C6:C30)</f>
        <v>60</v>
      </c>
      <c r="K6" s="1"/>
      <c r="L6" s="1"/>
    </row>
    <row r="7" spans="1:12">
      <c r="A7" s="13">
        <f>IF(ISERROR(LOOKUP(B7,$B$4:B6,$A$4:A6)),(MAX($A$4:A6))+1,LOOKUP(B7,$B$4:B6,$A$4:A6))</f>
        <v>1</v>
      </c>
      <c r="B7" s="1" t="s">
        <v>5</v>
      </c>
      <c r="C7" s="1">
        <v>50</v>
      </c>
      <c r="D7" s="1">
        <v>1</v>
      </c>
      <c r="I7" s="2"/>
      <c r="J7" s="12"/>
      <c r="K7" s="1"/>
      <c r="L7" s="1"/>
    </row>
    <row r="8" spans="1:12">
      <c r="A8" s="13">
        <f>IF(ISERROR(LOOKUP(B8,$B$4:B7,$A$4:A7)),(MAX($A$4:A7))+1,LOOKUP(B8,$B$4:B7,$A$4:A7))</f>
        <v>2</v>
      </c>
      <c r="B8" s="9"/>
      <c r="I8" s="2"/>
      <c r="J8" s="1"/>
      <c r="K8" s="1"/>
      <c r="L8" s="1"/>
    </row>
    <row r="9" spans="1:12">
      <c r="A9" s="13">
        <f>IF(ISERROR(LOOKUP(B9,$B$4:B8,$A$4:A8)),(MAX($A$4:A8))+1,LOOKUP(B9,$B$4:B8,$A$4:A8))</f>
        <v>3</v>
      </c>
      <c r="I9" s="2"/>
      <c r="J9" s="1"/>
      <c r="K9" s="1"/>
      <c r="L9" s="1"/>
    </row>
    <row r="10" spans="1:12">
      <c r="A10" s="13">
        <f>IF(ISERROR(LOOKUP(B10,$B$4:B9,$A$4:A9)),(MAX($A$4:A9))+1,LOOKUP(B10,$B$4:B9,$A$4:A9))</f>
        <v>4</v>
      </c>
      <c r="C10" s="1"/>
      <c r="D10" s="1"/>
      <c r="I10" s="2"/>
      <c r="J10" s="1"/>
      <c r="K10" s="1"/>
      <c r="L10" s="1"/>
    </row>
    <row r="11" spans="1:12">
      <c r="A11" s="13">
        <f>IF(ISERROR(LOOKUP(B11,$B$4:B10,$A$4:A10)),(MAX($A$4:A10))+1,LOOKUP(B11,$B$4:B10,$A$4:A10))</f>
        <v>5</v>
      </c>
      <c r="B11" t="s">
        <v>10</v>
      </c>
      <c r="C11" s="1"/>
      <c r="D11" s="1"/>
      <c r="I11" s="2"/>
      <c r="J11" s="1"/>
      <c r="K11" s="1"/>
      <c r="L11" s="1"/>
    </row>
    <row r="12" spans="1:12">
      <c r="A12" t="e">
        <f>LOOKUP(B11,$B$4:B10,$A$4:A10)</f>
        <v>#N/A</v>
      </c>
      <c r="C12" s="1"/>
      <c r="D12" s="1"/>
      <c r="I12" s="2"/>
      <c r="J12" s="1"/>
      <c r="K12" s="1"/>
      <c r="L12" s="1"/>
    </row>
    <row r="13" spans="1:12">
      <c r="C13" s="1"/>
      <c r="D13" s="1"/>
      <c r="I13" s="2"/>
      <c r="J13" s="1"/>
      <c r="K13" s="1"/>
      <c r="L13" s="1"/>
    </row>
    <row r="14" spans="1:12">
      <c r="C14" s="1"/>
      <c r="D14" s="1"/>
      <c r="I14" s="2"/>
      <c r="J14" s="1"/>
      <c r="K14" s="1"/>
      <c r="L14" s="1"/>
    </row>
    <row r="15" spans="1:12">
      <c r="C15" s="1"/>
      <c r="D15" s="1"/>
      <c r="I15" s="2"/>
      <c r="J15" s="1"/>
      <c r="K15" s="1"/>
      <c r="L15" s="1"/>
    </row>
    <row r="16" spans="1:12">
      <c r="C16" s="1"/>
      <c r="D16" s="1"/>
      <c r="I16" s="2"/>
      <c r="J16" s="1"/>
      <c r="K16" s="1"/>
      <c r="L16" s="1"/>
    </row>
    <row r="17" spans="3:12">
      <c r="C17" s="1"/>
      <c r="D17" s="1"/>
      <c r="I17" s="2"/>
      <c r="J17" s="1"/>
      <c r="K17" s="1"/>
      <c r="L17" s="1"/>
    </row>
    <row r="18" spans="3:12">
      <c r="C18" s="1"/>
      <c r="D18" s="1"/>
      <c r="I18" s="2"/>
      <c r="J18" s="1"/>
      <c r="K18" s="1"/>
      <c r="L18" s="1"/>
    </row>
    <row r="19" spans="3:12">
      <c r="C19" s="1"/>
      <c r="D19" s="1"/>
      <c r="I19" s="2"/>
      <c r="J19" s="1"/>
      <c r="K19" s="1"/>
      <c r="L19" s="1"/>
    </row>
    <row r="20" spans="3:12">
      <c r="C20" s="1"/>
      <c r="D20" s="1"/>
      <c r="I20" s="2"/>
      <c r="J20" s="1"/>
      <c r="K20" s="1"/>
      <c r="L20" s="1"/>
    </row>
    <row r="21" spans="3:12">
      <c r="C21" s="1"/>
      <c r="D21" s="1"/>
      <c r="I21" s="2"/>
      <c r="J21" s="1"/>
      <c r="K21" s="1"/>
      <c r="L21" s="1"/>
    </row>
    <row r="22" spans="3:12">
      <c r="C22" s="1"/>
      <c r="D22" s="1"/>
      <c r="I22" s="2"/>
      <c r="J22" s="1"/>
      <c r="K22" s="1"/>
      <c r="L22" s="1"/>
    </row>
    <row r="23" spans="3:12">
      <c r="C23" s="1"/>
      <c r="D23" s="1"/>
      <c r="I23" s="2"/>
      <c r="J23" s="1"/>
      <c r="K23" s="1"/>
      <c r="L23" s="1"/>
    </row>
    <row r="24" spans="3:12">
      <c r="C24" s="1"/>
      <c r="D24" s="1"/>
      <c r="I24" s="2"/>
      <c r="J24" s="1"/>
      <c r="K24" s="1"/>
      <c r="L24" s="1"/>
    </row>
    <row r="25" spans="3:12">
      <c r="C25" s="1"/>
      <c r="D25" s="1"/>
      <c r="I25" s="2"/>
      <c r="J25" s="1"/>
      <c r="K25" s="1"/>
      <c r="L25" s="1"/>
    </row>
    <row r="26" spans="3:12">
      <c r="C26" s="1"/>
      <c r="D26" s="1"/>
      <c r="I26" s="2"/>
      <c r="J26" s="1"/>
      <c r="K26" s="1"/>
      <c r="L26" s="1"/>
    </row>
    <row r="27" spans="3:12">
      <c r="C27" s="1"/>
      <c r="D27" s="1"/>
      <c r="I27" s="2"/>
      <c r="J27" s="1"/>
      <c r="K27" s="1"/>
      <c r="L27" s="1"/>
    </row>
    <row r="28" spans="3:12">
      <c r="C28" s="1"/>
      <c r="D28" s="1"/>
      <c r="I28" s="2"/>
      <c r="J28" s="1"/>
      <c r="K28" s="1"/>
      <c r="L2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2015-12-22T10:19:56Z</dcterms:modified>
</cp:coreProperties>
</file>